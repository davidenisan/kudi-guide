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to V1" sheetId="1" state="visible" r:id="rId3"/>
    <sheet name="Summary" sheetId="2" state="visible" r:id="rId4"/>
  </sheets>
  <definedNames>
    <definedName function="false" hidden="true" localSheetId="0" name="_xlnm._FilterDatabase" vbProcedure="false">'Roadmap to V1'!$A$4:$I$42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<sst xmlns="http://schemas.openxmlformats.org/spreadsheetml/2006/main" count="336" uniqueCount="180">
  <si>
    <t xml:space="preserve">Nigeria Finance App — Build Tracker (Path to Version 1)</t>
  </si>
  <si>
    <t xml:space="preserve">Update the Status column as work progresses. P0 = must-have for V1, P1 = should-have, P2 = nice-to-have / can slip.</t>
  </si>
  <si>
    <t xml:space="preserve">ID</t>
  </si>
  <si>
    <t xml:space="preserve">Phase</t>
  </si>
  <si>
    <t xml:space="preserve">Feature Area</t>
  </si>
  <si>
    <t xml:space="preserve">Task / Deliverable</t>
  </si>
  <si>
    <t xml:space="preserve">Description</t>
  </si>
  <si>
    <t xml:space="preserve">Priority</t>
  </si>
  <si>
    <t xml:space="preserve">Status</t>
  </si>
  <si>
    <t xml:space="preserve">Depends On</t>
  </si>
  <si>
    <t xml:space="preserve">Notes</t>
  </si>
  <si>
    <t xml:space="preserve">0.1</t>
  </si>
  <si>
    <t xml:space="preserve">0</t>
  </si>
  <si>
    <t xml:space="preserve">Setup</t>
  </si>
  <si>
    <t xml:space="preserve">Repo &amp; frontend scaffolding</t>
  </si>
  <si>
    <t xml:space="preserve">Initialize Next.js app; run shadcn/ui init with the agreed preset (b8Qy9QDHYe, --pointer)</t>
  </si>
  <si>
    <t xml:space="preserve">P0</t>
  </si>
  <si>
    <t xml:space="preserve">Not Started</t>
  </si>
  <si>
    <t xml:space="preserve">-</t>
  </si>
  <si>
    <t xml:space="preserve">Foundation for all frontend work</t>
  </si>
  <si>
    <t xml:space="preserve">0.2</t>
  </si>
  <si>
    <t xml:space="preserve">Backend scaffolding</t>
  </si>
  <si>
    <t xml:space="preserve">Initialize Node.js/Express (or NestJS) API project, folder structure, env config</t>
  </si>
  <si>
    <t xml:space="preserve">0.3</t>
  </si>
  <si>
    <t xml:space="preserve">Database schema &amp; migrations</t>
  </si>
  <si>
    <t xml:space="preserve">Postgres schema for users, transactions, categories, budgets, goals; migration tooling</t>
  </si>
  <si>
    <t xml:space="preserve">0.4</t>
  </si>
  <si>
    <t xml:space="preserve">Queue infrastructure</t>
  </si>
  <si>
    <t xml:space="preserve">Redis + BullMQ setup for background jobs</t>
  </si>
  <si>
    <t xml:space="preserve">0.5</t>
  </si>
  <si>
    <t xml:space="preserve">Object storage</t>
  </si>
  <si>
    <t xml:space="preserve">S3-compatible bucket for receipt images/PDFs</t>
  </si>
  <si>
    <t xml:space="preserve">0.6</t>
  </si>
  <si>
    <t xml:space="preserve">Deployment pipeline</t>
  </si>
  <si>
    <t xml:space="preserve">Basic CI/CD + staging environment</t>
  </si>
  <si>
    <t xml:space="preserve">P1</t>
  </si>
  <si>
    <t xml:space="preserve">0.1, 0.2</t>
  </si>
  <si>
    <t xml:space="preserve">1.1</t>
  </si>
  <si>
    <t xml:space="preserve">1</t>
  </si>
  <si>
    <t xml:space="preserve">Auth</t>
  </si>
  <si>
    <t xml:space="preserve">Phone OTP auth</t>
  </si>
  <si>
    <t xml:space="preserve">Integrate Termii/Africa's Talking for signup/login via phone number</t>
  </si>
  <si>
    <t xml:space="preserve">0.2, 0.3</t>
  </si>
  <si>
    <t xml:space="preserve">1.2</t>
  </si>
  <si>
    <t xml:space="preserve">WhatsApp</t>
  </si>
  <si>
    <t xml:space="preserve">Business API setup</t>
  </si>
  <si>
    <t xml:space="preserve">Meta business verification, BSP account (Termii/360dialog), dedicated number</t>
  </si>
  <si>
    <t xml:space="preserve">Approval process takes time — start this early, in parallel with 0.x</t>
  </si>
  <si>
    <t xml:space="preserve">1.3</t>
  </si>
  <si>
    <t xml:space="preserve">Webhook receiver</t>
  </si>
  <si>
    <t xml:space="preserve">Handle inbound image/PDF messages, resolve WhatsApp media URLs, download to storage</t>
  </si>
  <si>
    <t xml:space="preserve">1.2, 0.4</t>
  </si>
  <si>
    <t xml:space="preserve">1.4</t>
  </si>
  <si>
    <t xml:space="preserve">Account linking</t>
  </si>
  <si>
    <t xml:space="preserve">Map WhatsApp sender number to app user account</t>
  </si>
  <si>
    <t xml:space="preserve">1.1, 1.3</t>
  </si>
  <si>
    <t xml:space="preserve">1.5</t>
  </si>
  <si>
    <t xml:space="preserve">Ingestion</t>
  </si>
  <si>
    <t xml:space="preserve">In-app upload (fallback)</t>
  </si>
  <si>
    <t xml:space="preserve">Manual upload flow for users without the bot linked</t>
  </si>
  <si>
    <t xml:space="preserve">1.6</t>
  </si>
  <si>
    <t xml:space="preserve">OCR</t>
  </si>
  <si>
    <t xml:space="preserve">OCR provider integration</t>
  </si>
  <si>
    <t xml:space="preserve">Google Cloud Vision or AWS Textract integration</t>
  </si>
  <si>
    <t xml:space="preserve">0.4, 0.5</t>
  </si>
  <si>
    <t xml:space="preserve">1.7</t>
  </si>
  <si>
    <t xml:space="preserve">PDF text extraction</t>
  </si>
  <si>
    <t xml:space="preserve">Direct text extraction for PDF receipts; OCR fallback if no text layer</t>
  </si>
  <si>
    <t xml:space="preserve">1.8</t>
  </si>
  <si>
    <t xml:space="preserve">Parsing</t>
  </si>
  <si>
    <t xml:space="preserve">Bank template registry</t>
  </si>
  <si>
    <t xml:space="preserve">Parser templates for 3–4 priority banks/fintechs (e.g. GTBank, Kuda, OPay, Access)</t>
  </si>
  <si>
    <t xml:space="preserve">1.6, 1.7</t>
  </si>
  <si>
    <t xml:space="preserve">1.9</t>
  </si>
  <si>
    <t xml:space="preserve">Categorization engine</t>
  </si>
  <si>
    <t xml:space="preserve">Rule-based merchant-to-category mapping</t>
  </si>
  <si>
    <t xml:space="preserve">1.10</t>
  </si>
  <si>
    <t xml:space="preserve">Dedup logic</t>
  </si>
  <si>
    <t xml:space="preserve">Hash-based duplicate detection (amount, date, reference number)</t>
  </si>
  <si>
    <t xml:space="preserve">1.11</t>
  </si>
  <si>
    <t xml:space="preserve">Bot confirmation replies</t>
  </si>
  <si>
    <t xml:space="preserve">Bot replies in-chat with parsed transaction, or asks for correction on low confidence</t>
  </si>
  <si>
    <t xml:space="preserve">1.4, 1.9</t>
  </si>
  <si>
    <t xml:space="preserve">1.12</t>
  </si>
  <si>
    <t xml:space="preserve">UI</t>
  </si>
  <si>
    <t xml:space="preserve">Dashboard screen</t>
  </si>
  <si>
    <t xml:space="preserve">Transaction feed + spend overview (shadcn: card, table, tabs, badge, skeleton)</t>
  </si>
  <si>
    <t xml:space="preserve">1.13</t>
  </si>
  <si>
    <t xml:space="preserve">Transaction confirm/correct screen</t>
  </si>
  <si>
    <t xml:space="preserve">Review &amp; fix low-confidence extractions (shadcn: dialog/sheet, form, select)</t>
  </si>
  <si>
    <t xml:space="preserve">1.12, 1.9</t>
  </si>
  <si>
    <t xml:space="preserve">1.14</t>
  </si>
  <si>
    <t xml:space="preserve">Onboarding / auth screens</t>
  </si>
  <si>
    <t xml:space="preserve">Phone verification + WhatsApp linking UI (shadcn: form, input-otp)</t>
  </si>
  <si>
    <t xml:space="preserve">1.1, 1.4</t>
  </si>
  <si>
    <t xml:space="preserve">1.15</t>
  </si>
  <si>
    <t xml:space="preserve">Settings screen</t>
  </si>
  <si>
    <t xml:space="preserve">WhatsApp link status, notification preferences</t>
  </si>
  <si>
    <t xml:space="preserve">1.16</t>
  </si>
  <si>
    <t xml:space="preserve">Sync</t>
  </si>
  <si>
    <t xml:space="preserve">Dashboard live updates</t>
  </si>
  <si>
    <t xml:space="preserve">Polling (MVP) or WebSocket/SSE + toast when a new transaction lands</t>
  </si>
  <si>
    <t xml:space="preserve">2.1</t>
  </si>
  <si>
    <t xml:space="preserve">2</t>
  </si>
  <si>
    <t xml:space="preserve">Budgets</t>
  </si>
  <si>
    <t xml:space="preserve">Budgets CRUD API</t>
  </si>
  <si>
    <t xml:space="preserve">Create / edit / delete category budgets</t>
  </si>
  <si>
    <t xml:space="preserve">2.2</t>
  </si>
  <si>
    <t xml:space="preserve">Threshold alerts</t>
  </si>
  <si>
    <t xml:space="preserve">Alert when spend nears/exceeds a budget limit (e.g. 80%)</t>
  </si>
  <si>
    <t xml:space="preserve">2.3</t>
  </si>
  <si>
    <t xml:space="preserve">Budgets UI</t>
  </si>
  <si>
    <t xml:space="preserve">List, create/edit form, progress bars (shadcn: progress, card, form, alert)</t>
  </si>
  <si>
    <t xml:space="preserve">2.4</t>
  </si>
  <si>
    <t xml:space="preserve">Goals</t>
  </si>
  <si>
    <t xml:space="preserve">Goals CRUD API</t>
  </si>
  <si>
    <t xml:space="preserve">Create / edit / delete savings &amp; investment goals</t>
  </si>
  <si>
    <t xml:space="preserve">2.5</t>
  </si>
  <si>
    <t xml:space="preserve">Goal progress tracking</t>
  </si>
  <si>
    <t xml:space="preserve">Manual contribution logging + progress calculation</t>
  </si>
  <si>
    <t xml:space="preserve">2.6</t>
  </si>
  <si>
    <t xml:space="preserve">Goals UI</t>
  </si>
  <si>
    <t xml:space="preserve">List, create/edit form, progress + target date (shadcn: progress, card, form, calendar)</t>
  </si>
  <si>
    <t xml:space="preserve">2.7</t>
  </si>
  <si>
    <t xml:space="preserve">Planning</t>
  </si>
  <si>
    <t xml:space="preserve">Spend projection</t>
  </si>
  <si>
    <t xml:space="preserve">Projected month-end spend based on current pace</t>
  </si>
  <si>
    <t xml:space="preserve">P2</t>
  </si>
  <si>
    <t xml:space="preserve">Nice-to-have, can slip past V1</t>
  </si>
  <si>
    <t xml:space="preserve">2.8</t>
  </si>
  <si>
    <t xml:space="preserve">Notifications</t>
  </si>
  <si>
    <t xml:space="preserve">In-app budget/goal alerts</t>
  </si>
  <si>
    <t xml:space="preserve">Toast/badge alerts for budget thresholds and goal milestones</t>
  </si>
  <si>
    <t xml:space="preserve">2.2, 2.5</t>
  </si>
  <si>
    <t xml:space="preserve">  ▲ V1 LAUNCH CHECKPOINT — everything above this line is in scope for Version 1  ▲</t>
  </si>
  <si>
    <t xml:space="preserve">3.1</t>
  </si>
  <si>
    <t xml:space="preserve">3</t>
  </si>
  <si>
    <t xml:space="preserve">Mobile</t>
  </si>
  <si>
    <t xml:space="preserve">Capacitor wrap</t>
  </si>
  <si>
    <t xml:space="preserve">Wrap the web app with Capacitor for iOS/Android</t>
  </si>
  <si>
    <t xml:space="preserve">Post-V1</t>
  </si>
  <si>
    <t xml:space="preserve">3.2</t>
  </si>
  <si>
    <t xml:space="preserve">Native share target</t>
  </si>
  <si>
    <t xml:space="preserve">Android intent filter + iOS share extension for direct receipt sharing</t>
  </si>
  <si>
    <t xml:space="preserve">3.3</t>
  </si>
  <si>
    <t xml:space="preserve">Push notifications (native)</t>
  </si>
  <si>
    <t xml:space="preserve">Native push for budget/goal alerts</t>
  </si>
  <si>
    <t xml:space="preserve">3.1, 2.8</t>
  </si>
  <si>
    <t xml:space="preserve">3.4</t>
  </si>
  <si>
    <t xml:space="preserve">App store submission</t>
  </si>
  <si>
    <t xml:space="preserve">iOS App Store + Google Play listing and review</t>
  </si>
  <si>
    <t xml:space="preserve">3.1, 3.2</t>
  </si>
  <si>
    <t xml:space="preserve">B.1</t>
  </si>
  <si>
    <t xml:space="preserve">B</t>
  </si>
  <si>
    <t xml:space="preserve">Backlog</t>
  </si>
  <si>
    <t xml:space="preserve">Email / Gmail scraping</t>
  </si>
  <si>
    <t xml:space="preserve">OAuth Gmail/Outlook, scheduled bank-alert email sync</t>
  </si>
  <si>
    <t xml:space="preserve">Deferred per scope decision — revisit after V1</t>
  </si>
  <si>
    <t xml:space="preserve">B.2</t>
  </si>
  <si>
    <t xml:space="preserve">Open banking integration</t>
  </si>
  <si>
    <t xml:space="preserve">Mono/Okra direct account aggregation</t>
  </si>
  <si>
    <t xml:space="preserve">Could reduce reliance on OCR accuracy</t>
  </si>
  <si>
    <t xml:space="preserve">B.3</t>
  </si>
  <si>
    <t xml:space="preserve">ML categorization upgrade</t>
  </si>
  <si>
    <t xml:space="preserve">Replace/augment rule-based categorization with a trained classifier</t>
  </si>
  <si>
    <t xml:space="preserve">Needs labeled data accumulated from Phase 1 usage</t>
  </si>
  <si>
    <t xml:space="preserve">Progress Summary</t>
  </si>
  <si>
    <t xml:space="preserve">Counts update automatically from the Roadmap to V1 sheet.</t>
  </si>
  <si>
    <t xml:space="preserve">By status (all tasks)</t>
  </si>
  <si>
    <t xml:space="preserve">Count</t>
  </si>
  <si>
    <t xml:space="preserve">In Progress</t>
  </si>
  <si>
    <t xml:space="preserve">Done</t>
  </si>
  <si>
    <t xml:space="preserve">Blocked</t>
  </si>
  <si>
    <t xml:space="preserve">Total tasks</t>
  </si>
  <si>
    <t xml:space="preserve">% Done</t>
  </si>
  <si>
    <t xml:space="preserve">By phase — V1 scope only (Phase 0, 1, 2)</t>
  </si>
  <si>
    <t xml:space="preserve">Total</t>
  </si>
  <si>
    <t xml:space="preserve">Phase 0 — Setup</t>
  </si>
  <si>
    <t xml:space="preserve">Phase 1 — Receipt Ingestion &amp; Dashboard</t>
  </si>
  <si>
    <t xml:space="preserve">Phase 2 — Budgeting &amp; Goals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</si>
</sst>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BEAFE"/>
      </patternFill>
    </fill>
    <fill>
      <patternFill patternType="solid">
        <fgColor rgb="FFDBEAFE"/>
        <bgColor rgb="FFE5E7EB"/>
      </patternFill>
    </fill>
    <fill>
      <patternFill patternType="solid">
        <fgColor rgb="FFDCFCE7"/>
        <bgColor rgb="FFF3F4F6"/>
      </patternFill>
    </fill>
    <fill>
      <patternFill patternType="solid">
        <fgColor rgb="FFB45309"/>
        <bgColor rgb="FF993366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3F4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5" t="s">
        <v>14</v>
      </c>
      <c r="E5" s="5" t="s">
        <v>15</v>
      </c>
      <c r="F5" s="4" t="s">
        <v>16</v>
      </c>
      <c r="G5" s="4" t="s">
        <v>17</v>
      </c>
      <c r="H5" s="4" t="s">
        <v>18</v>
      </c>
      <c r="I5" s="5" t="s">
        <v>19</v>
      </c>
    </row>
    <row r="6" customFormat="false" ht="23.85" hidden="false" customHeight="false" outlineLevel="0" collapsed="false">
      <c r="A6" s="4" t="s">
        <v>20</v>
      </c>
      <c r="B6" s="4" t="s">
        <v>12</v>
      </c>
      <c r="C6" s="4" t="s">
        <v>13</v>
      </c>
      <c r="D6" s="5" t="s">
        <v>21</v>
      </c>
      <c r="E6" s="5" t="s">
        <v>22</v>
      </c>
      <c r="F6" s="4" t="s">
        <v>16</v>
      </c>
      <c r="G6" s="4" t="s">
        <v>17</v>
      </c>
      <c r="H6" s="4" t="s">
        <v>18</v>
      </c>
      <c r="I6" s="5"/>
    </row>
    <row r="7" customFormat="false" ht="23.85" hidden="false" customHeight="false" outlineLevel="0" collapsed="false">
      <c r="A7" s="4" t="s">
        <v>23</v>
      </c>
      <c r="B7" s="4" t="s">
        <v>12</v>
      </c>
      <c r="C7" s="4" t="s">
        <v>13</v>
      </c>
      <c r="D7" s="5" t="s">
        <v>24</v>
      </c>
      <c r="E7" s="5" t="s">
        <v>25</v>
      </c>
      <c r="F7" s="4" t="s">
        <v>16</v>
      </c>
      <c r="G7" s="4" t="s">
        <v>17</v>
      </c>
      <c r="H7" s="4" t="s">
        <v>20</v>
      </c>
      <c r="I7" s="5"/>
    </row>
    <row r="8" customFormat="false" ht="15" hidden="false" customHeight="false" outlineLevel="0" collapsed="false">
      <c r="A8" s="4" t="s">
        <v>26</v>
      </c>
      <c r="B8" s="4" t="s">
        <v>12</v>
      </c>
      <c r="C8" s="4" t="s">
        <v>13</v>
      </c>
      <c r="D8" s="5" t="s">
        <v>27</v>
      </c>
      <c r="E8" s="5" t="s">
        <v>28</v>
      </c>
      <c r="F8" s="4" t="s">
        <v>16</v>
      </c>
      <c r="G8" s="4" t="s">
        <v>17</v>
      </c>
      <c r="H8" s="4" t="s">
        <v>20</v>
      </c>
      <c r="I8" s="5"/>
    </row>
    <row r="9" customFormat="false" ht="15" hidden="false" customHeight="false" outlineLevel="0" collapsed="false">
      <c r="A9" s="4" t="s">
        <v>29</v>
      </c>
      <c r="B9" s="4" t="s">
        <v>12</v>
      </c>
      <c r="C9" s="4" t="s">
        <v>13</v>
      </c>
      <c r="D9" s="5" t="s">
        <v>30</v>
      </c>
      <c r="E9" s="5" t="s">
        <v>31</v>
      </c>
      <c r="F9" s="4" t="s">
        <v>16</v>
      </c>
      <c r="G9" s="4" t="s">
        <v>17</v>
      </c>
      <c r="H9" s="4" t="s">
        <v>20</v>
      </c>
      <c r="I9" s="5"/>
    </row>
    <row r="10" customFormat="false" ht="15" hidden="false" customHeight="false" outlineLevel="0" collapsed="false">
      <c r="A10" s="4" t="s">
        <v>32</v>
      </c>
      <c r="B10" s="4" t="s">
        <v>12</v>
      </c>
      <c r="C10" s="4" t="s">
        <v>13</v>
      </c>
      <c r="D10" s="5" t="s">
        <v>33</v>
      </c>
      <c r="E10" s="5" t="s">
        <v>34</v>
      </c>
      <c r="F10" s="4" t="s">
        <v>35</v>
      </c>
      <c r="G10" s="4" t="s">
        <v>17</v>
      </c>
      <c r="H10" s="4" t="s">
        <v>36</v>
      </c>
      <c r="I10" s="5"/>
    </row>
    <row r="11" customFormat="false" ht="23.85" hidden="false" customHeight="false" outlineLevel="0" collapsed="false">
      <c r="A11" s="6" t="s">
        <v>37</v>
      </c>
      <c r="B11" s="6" t="s">
        <v>38</v>
      </c>
      <c r="C11" s="6" t="s">
        <v>39</v>
      </c>
      <c r="D11" s="7" t="s">
        <v>40</v>
      </c>
      <c r="E11" s="7" t="s">
        <v>41</v>
      </c>
      <c r="F11" s="6" t="s">
        <v>16</v>
      </c>
      <c r="G11" s="6" t="s">
        <v>17</v>
      </c>
      <c r="H11" s="6" t="s">
        <v>42</v>
      </c>
      <c r="I11" s="7"/>
    </row>
    <row r="12" customFormat="false" ht="23.85" hidden="false" customHeight="false" outlineLevel="0" collapsed="false">
      <c r="A12" s="6" t="s">
        <v>43</v>
      </c>
      <c r="B12" s="6" t="s">
        <v>38</v>
      </c>
      <c r="C12" s="6" t="s">
        <v>44</v>
      </c>
      <c r="D12" s="7" t="s">
        <v>45</v>
      </c>
      <c r="E12" s="7" t="s">
        <v>46</v>
      </c>
      <c r="F12" s="6" t="s">
        <v>16</v>
      </c>
      <c r="G12" s="6" t="s">
        <v>17</v>
      </c>
      <c r="H12" s="6" t="s">
        <v>18</v>
      </c>
      <c r="I12" s="7" t="s">
        <v>47</v>
      </c>
    </row>
    <row r="13" customFormat="false" ht="23.85" hidden="false" customHeight="false" outlineLevel="0" collapsed="false">
      <c r="A13" s="6" t="s">
        <v>48</v>
      </c>
      <c r="B13" s="6" t="s">
        <v>38</v>
      </c>
      <c r="C13" s="6" t="s">
        <v>44</v>
      </c>
      <c r="D13" s="7" t="s">
        <v>49</v>
      </c>
      <c r="E13" s="7" t="s">
        <v>50</v>
      </c>
      <c r="F13" s="6" t="s">
        <v>16</v>
      </c>
      <c r="G13" s="6" t="s">
        <v>17</v>
      </c>
      <c r="H13" s="6" t="s">
        <v>51</v>
      </c>
      <c r="I13" s="7"/>
    </row>
    <row r="14" customFormat="false" ht="15" hidden="false" customHeight="false" outlineLevel="0" collapsed="false">
      <c r="A14" s="6" t="s">
        <v>52</v>
      </c>
      <c r="B14" s="6" t="s">
        <v>38</v>
      </c>
      <c r="C14" s="6" t="s">
        <v>44</v>
      </c>
      <c r="D14" s="7" t="s">
        <v>53</v>
      </c>
      <c r="E14" s="7" t="s">
        <v>54</v>
      </c>
      <c r="F14" s="6" t="s">
        <v>16</v>
      </c>
      <c r="G14" s="6" t="s">
        <v>17</v>
      </c>
      <c r="H14" s="6" t="s">
        <v>55</v>
      </c>
      <c r="I14" s="7"/>
    </row>
    <row r="15" customFormat="false" ht="15" hidden="false" customHeight="false" outlineLevel="0" collapsed="false">
      <c r="A15" s="6" t="s">
        <v>56</v>
      </c>
      <c r="B15" s="6" t="s">
        <v>38</v>
      </c>
      <c r="C15" s="6" t="s">
        <v>57</v>
      </c>
      <c r="D15" s="7" t="s">
        <v>58</v>
      </c>
      <c r="E15" s="7" t="s">
        <v>59</v>
      </c>
      <c r="F15" s="6" t="s">
        <v>35</v>
      </c>
      <c r="G15" s="6" t="s">
        <v>17</v>
      </c>
      <c r="H15" s="6" t="s">
        <v>29</v>
      </c>
      <c r="I15" s="7"/>
    </row>
    <row r="16" customFormat="false" ht="15" hidden="false" customHeight="false" outlineLevel="0" collapsed="false">
      <c r="A16" s="6" t="s">
        <v>60</v>
      </c>
      <c r="B16" s="6" t="s">
        <v>38</v>
      </c>
      <c r="C16" s="6" t="s">
        <v>61</v>
      </c>
      <c r="D16" s="7" t="s">
        <v>62</v>
      </c>
      <c r="E16" s="7" t="s">
        <v>63</v>
      </c>
      <c r="F16" s="6" t="s">
        <v>16</v>
      </c>
      <c r="G16" s="6" t="s">
        <v>17</v>
      </c>
      <c r="H16" s="6" t="s">
        <v>64</v>
      </c>
      <c r="I16" s="7"/>
    </row>
    <row r="17" customFormat="false" ht="23.85" hidden="false" customHeight="false" outlineLevel="0" collapsed="false">
      <c r="A17" s="6" t="s">
        <v>65</v>
      </c>
      <c r="B17" s="6" t="s">
        <v>38</v>
      </c>
      <c r="C17" s="6" t="s">
        <v>61</v>
      </c>
      <c r="D17" s="7" t="s">
        <v>66</v>
      </c>
      <c r="E17" s="7" t="s">
        <v>67</v>
      </c>
      <c r="F17" s="6" t="s">
        <v>16</v>
      </c>
      <c r="G17" s="6" t="s">
        <v>17</v>
      </c>
      <c r="H17" s="6" t="s">
        <v>60</v>
      </c>
      <c r="I17" s="7"/>
    </row>
    <row r="18" customFormat="false" ht="23.85" hidden="false" customHeight="false" outlineLevel="0" collapsed="false">
      <c r="A18" s="6" t="s">
        <v>68</v>
      </c>
      <c r="B18" s="6" t="s">
        <v>38</v>
      </c>
      <c r="C18" s="6" t="s">
        <v>69</v>
      </c>
      <c r="D18" s="7" t="s">
        <v>70</v>
      </c>
      <c r="E18" s="7" t="s">
        <v>71</v>
      </c>
      <c r="F18" s="6" t="s">
        <v>16</v>
      </c>
      <c r="G18" s="6" t="s">
        <v>17</v>
      </c>
      <c r="H18" s="6" t="s">
        <v>72</v>
      </c>
      <c r="I18" s="7"/>
    </row>
    <row r="19" customFormat="false" ht="15" hidden="false" customHeight="false" outlineLevel="0" collapsed="false">
      <c r="A19" s="6" t="s">
        <v>73</v>
      </c>
      <c r="B19" s="6" t="s">
        <v>38</v>
      </c>
      <c r="C19" s="6" t="s">
        <v>69</v>
      </c>
      <c r="D19" s="7" t="s">
        <v>74</v>
      </c>
      <c r="E19" s="7" t="s">
        <v>75</v>
      </c>
      <c r="F19" s="6" t="s">
        <v>16</v>
      </c>
      <c r="G19" s="6" t="s">
        <v>17</v>
      </c>
      <c r="H19" s="6" t="s">
        <v>68</v>
      </c>
      <c r="I19" s="7"/>
    </row>
    <row r="20" customFormat="false" ht="23.85" hidden="false" customHeight="false" outlineLevel="0" collapsed="false">
      <c r="A20" s="6" t="s">
        <v>76</v>
      </c>
      <c r="B20" s="6" t="s">
        <v>38</v>
      </c>
      <c r="C20" s="6" t="s">
        <v>69</v>
      </c>
      <c r="D20" s="7" t="s">
        <v>77</v>
      </c>
      <c r="E20" s="7" t="s">
        <v>78</v>
      </c>
      <c r="F20" s="6" t="s">
        <v>35</v>
      </c>
      <c r="G20" s="6" t="s">
        <v>17</v>
      </c>
      <c r="H20" s="6" t="s">
        <v>68</v>
      </c>
      <c r="I20" s="7"/>
    </row>
    <row r="21" customFormat="false" ht="23.85" hidden="false" customHeight="false" outlineLevel="0" collapsed="false">
      <c r="A21" s="6" t="s">
        <v>79</v>
      </c>
      <c r="B21" s="6" t="s">
        <v>38</v>
      </c>
      <c r="C21" s="6" t="s">
        <v>44</v>
      </c>
      <c r="D21" s="7" t="s">
        <v>80</v>
      </c>
      <c r="E21" s="7" t="s">
        <v>81</v>
      </c>
      <c r="F21" s="6" t="s">
        <v>16</v>
      </c>
      <c r="G21" s="6" t="s">
        <v>17</v>
      </c>
      <c r="H21" s="6" t="s">
        <v>82</v>
      </c>
      <c r="I21" s="7"/>
    </row>
    <row r="22" customFormat="false" ht="23.85" hidden="false" customHeight="false" outlineLevel="0" collapsed="false">
      <c r="A22" s="6" t="s">
        <v>83</v>
      </c>
      <c r="B22" s="6" t="s">
        <v>38</v>
      </c>
      <c r="C22" s="6" t="s">
        <v>84</v>
      </c>
      <c r="D22" s="7" t="s">
        <v>85</v>
      </c>
      <c r="E22" s="7" t="s">
        <v>86</v>
      </c>
      <c r="F22" s="6" t="s">
        <v>16</v>
      </c>
      <c r="G22" s="6" t="s">
        <v>17</v>
      </c>
      <c r="H22" s="6" t="s">
        <v>11</v>
      </c>
      <c r="I22" s="7"/>
    </row>
    <row r="23" customFormat="false" ht="23.85" hidden="false" customHeight="false" outlineLevel="0" collapsed="false">
      <c r="A23" s="6" t="s">
        <v>87</v>
      </c>
      <c r="B23" s="6" t="s">
        <v>38</v>
      </c>
      <c r="C23" s="6" t="s">
        <v>84</v>
      </c>
      <c r="D23" s="7" t="s">
        <v>88</v>
      </c>
      <c r="E23" s="7" t="s">
        <v>89</v>
      </c>
      <c r="F23" s="6" t="s">
        <v>16</v>
      </c>
      <c r="G23" s="6" t="s">
        <v>17</v>
      </c>
      <c r="H23" s="6" t="s">
        <v>90</v>
      </c>
      <c r="I23" s="7"/>
    </row>
    <row r="24" customFormat="false" ht="23.85" hidden="false" customHeight="false" outlineLevel="0" collapsed="false">
      <c r="A24" s="6" t="s">
        <v>91</v>
      </c>
      <c r="B24" s="6" t="s">
        <v>38</v>
      </c>
      <c r="C24" s="6" t="s">
        <v>84</v>
      </c>
      <c r="D24" s="7" t="s">
        <v>92</v>
      </c>
      <c r="E24" s="7" t="s">
        <v>93</v>
      </c>
      <c r="F24" s="6" t="s">
        <v>16</v>
      </c>
      <c r="G24" s="6" t="s">
        <v>17</v>
      </c>
      <c r="H24" s="6" t="s">
        <v>94</v>
      </c>
      <c r="I24" s="7"/>
    </row>
    <row r="25" customFormat="false" ht="15" hidden="false" customHeight="false" outlineLevel="0" collapsed="false">
      <c r="A25" s="6" t="s">
        <v>95</v>
      </c>
      <c r="B25" s="6" t="s">
        <v>38</v>
      </c>
      <c r="C25" s="6" t="s">
        <v>84</v>
      </c>
      <c r="D25" s="7" t="s">
        <v>96</v>
      </c>
      <c r="E25" s="7" t="s">
        <v>97</v>
      </c>
      <c r="F25" s="6" t="s">
        <v>35</v>
      </c>
      <c r="G25" s="6" t="s">
        <v>17</v>
      </c>
      <c r="H25" s="6" t="s">
        <v>83</v>
      </c>
      <c r="I25" s="7"/>
    </row>
    <row r="26" customFormat="false" ht="23.85" hidden="false" customHeight="false" outlineLevel="0" collapsed="false">
      <c r="A26" s="6" t="s">
        <v>98</v>
      </c>
      <c r="B26" s="6" t="s">
        <v>38</v>
      </c>
      <c r="C26" s="6" t="s">
        <v>99</v>
      </c>
      <c r="D26" s="7" t="s">
        <v>100</v>
      </c>
      <c r="E26" s="7" t="s">
        <v>101</v>
      </c>
      <c r="F26" s="6" t="s">
        <v>35</v>
      </c>
      <c r="G26" s="6" t="s">
        <v>17</v>
      </c>
      <c r="H26" s="6" t="s">
        <v>83</v>
      </c>
      <c r="I26" s="7"/>
    </row>
    <row r="27" customFormat="false" ht="15" hidden="false" customHeight="false" outlineLevel="0" collapsed="false">
      <c r="A27" s="8" t="s">
        <v>102</v>
      </c>
      <c r="B27" s="8" t="s">
        <v>103</v>
      </c>
      <c r="C27" s="8" t="s">
        <v>104</v>
      </c>
      <c r="D27" s="9" t="s">
        <v>105</v>
      </c>
      <c r="E27" s="9" t="s">
        <v>106</v>
      </c>
      <c r="F27" s="8" t="s">
        <v>16</v>
      </c>
      <c r="G27" s="8" t="s">
        <v>17</v>
      </c>
      <c r="H27" s="8" t="s">
        <v>23</v>
      </c>
      <c r="I27" s="9"/>
    </row>
    <row r="28" customFormat="false" ht="15" hidden="false" customHeight="false" outlineLevel="0" collapsed="false">
      <c r="A28" s="8" t="s">
        <v>107</v>
      </c>
      <c r="B28" s="8" t="s">
        <v>103</v>
      </c>
      <c r="C28" s="8" t="s">
        <v>104</v>
      </c>
      <c r="D28" s="9" t="s">
        <v>108</v>
      </c>
      <c r="E28" s="9" t="s">
        <v>109</v>
      </c>
      <c r="F28" s="8" t="s">
        <v>35</v>
      </c>
      <c r="G28" s="8" t="s">
        <v>17</v>
      </c>
      <c r="H28" s="8" t="s">
        <v>102</v>
      </c>
      <c r="I28" s="9"/>
    </row>
    <row r="29" customFormat="false" ht="23.85" hidden="false" customHeight="false" outlineLevel="0" collapsed="false">
      <c r="A29" s="8" t="s">
        <v>110</v>
      </c>
      <c r="B29" s="8" t="s">
        <v>103</v>
      </c>
      <c r="C29" s="8" t="s">
        <v>104</v>
      </c>
      <c r="D29" s="9" t="s">
        <v>111</v>
      </c>
      <c r="E29" s="9" t="s">
        <v>112</v>
      </c>
      <c r="F29" s="8" t="s">
        <v>16</v>
      </c>
      <c r="G29" s="8" t="s">
        <v>17</v>
      </c>
      <c r="H29" s="8" t="s">
        <v>102</v>
      </c>
      <c r="I29" s="9"/>
    </row>
    <row r="30" customFormat="false" ht="15" hidden="false" customHeight="false" outlineLevel="0" collapsed="false">
      <c r="A30" s="8" t="s">
        <v>113</v>
      </c>
      <c r="B30" s="8" t="s">
        <v>103</v>
      </c>
      <c r="C30" s="8" t="s">
        <v>114</v>
      </c>
      <c r="D30" s="9" t="s">
        <v>115</v>
      </c>
      <c r="E30" s="9" t="s">
        <v>116</v>
      </c>
      <c r="F30" s="8" t="s">
        <v>16</v>
      </c>
      <c r="G30" s="8" t="s">
        <v>17</v>
      </c>
      <c r="H30" s="8" t="s">
        <v>23</v>
      </c>
      <c r="I30" s="9"/>
    </row>
    <row r="31" customFormat="false" ht="15" hidden="false" customHeight="false" outlineLevel="0" collapsed="false">
      <c r="A31" s="8" t="s">
        <v>117</v>
      </c>
      <c r="B31" s="8" t="s">
        <v>103</v>
      </c>
      <c r="C31" s="8" t="s">
        <v>114</v>
      </c>
      <c r="D31" s="9" t="s">
        <v>118</v>
      </c>
      <c r="E31" s="9" t="s">
        <v>119</v>
      </c>
      <c r="F31" s="8" t="s">
        <v>16</v>
      </c>
      <c r="G31" s="8" t="s">
        <v>17</v>
      </c>
      <c r="H31" s="8" t="s">
        <v>113</v>
      </c>
      <c r="I31" s="9"/>
    </row>
    <row r="32" customFormat="false" ht="23.85" hidden="false" customHeight="false" outlineLevel="0" collapsed="false">
      <c r="A32" s="8" t="s">
        <v>120</v>
      </c>
      <c r="B32" s="8" t="s">
        <v>103</v>
      </c>
      <c r="C32" s="8" t="s">
        <v>114</v>
      </c>
      <c r="D32" s="9" t="s">
        <v>121</v>
      </c>
      <c r="E32" s="9" t="s">
        <v>122</v>
      </c>
      <c r="F32" s="8" t="s">
        <v>16</v>
      </c>
      <c r="G32" s="8" t="s">
        <v>17</v>
      </c>
      <c r="H32" s="8" t="s">
        <v>113</v>
      </c>
      <c r="I32" s="9"/>
    </row>
    <row r="33" customFormat="false" ht="15" hidden="false" customHeight="false" outlineLevel="0" collapsed="false">
      <c r="A33" s="8" t="s">
        <v>123</v>
      </c>
      <c r="B33" s="8" t="s">
        <v>103</v>
      </c>
      <c r="C33" s="8" t="s">
        <v>124</v>
      </c>
      <c r="D33" s="9" t="s">
        <v>125</v>
      </c>
      <c r="E33" s="9" t="s">
        <v>126</v>
      </c>
      <c r="F33" s="8" t="s">
        <v>127</v>
      </c>
      <c r="G33" s="8" t="s">
        <v>17</v>
      </c>
      <c r="H33" s="8" t="s">
        <v>102</v>
      </c>
      <c r="I33" s="9" t="s">
        <v>128</v>
      </c>
    </row>
    <row r="34" customFormat="false" ht="23.85" hidden="false" customHeight="false" outlineLevel="0" collapsed="false">
      <c r="A34" s="8" t="s">
        <v>129</v>
      </c>
      <c r="B34" s="8" t="s">
        <v>103</v>
      </c>
      <c r="C34" s="8" t="s">
        <v>130</v>
      </c>
      <c r="D34" s="9" t="s">
        <v>131</v>
      </c>
      <c r="E34" s="9" t="s">
        <v>132</v>
      </c>
      <c r="F34" s="8" t="s">
        <v>35</v>
      </c>
      <c r="G34" s="8" t="s">
        <v>17</v>
      </c>
      <c r="H34" s="8" t="s">
        <v>133</v>
      </c>
      <c r="I34" s="9"/>
    </row>
    <row r="35" customFormat="false" ht="19.5" hidden="false" customHeight="true" outlineLevel="0" collapsed="false">
      <c r="A35" s="10" t="s">
        <v>134</v>
      </c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11" t="s">
        <v>135</v>
      </c>
      <c r="B36" s="11" t="s">
        <v>136</v>
      </c>
      <c r="C36" s="11" t="s">
        <v>137</v>
      </c>
      <c r="D36" s="12" t="s">
        <v>138</v>
      </c>
      <c r="E36" s="12" t="s">
        <v>139</v>
      </c>
      <c r="F36" s="11" t="s">
        <v>35</v>
      </c>
      <c r="G36" s="11" t="s">
        <v>17</v>
      </c>
      <c r="H36" s="11" t="s">
        <v>18</v>
      </c>
      <c r="I36" s="12" t="s">
        <v>140</v>
      </c>
    </row>
    <row r="37" customFormat="false" ht="23.85" hidden="false" customHeight="false" outlineLevel="0" collapsed="false">
      <c r="A37" s="11" t="s">
        <v>141</v>
      </c>
      <c r="B37" s="11" t="s">
        <v>136</v>
      </c>
      <c r="C37" s="11" t="s">
        <v>137</v>
      </c>
      <c r="D37" s="12" t="s">
        <v>142</v>
      </c>
      <c r="E37" s="12" t="s">
        <v>143</v>
      </c>
      <c r="F37" s="11" t="s">
        <v>35</v>
      </c>
      <c r="G37" s="11" t="s">
        <v>17</v>
      </c>
      <c r="H37" s="11" t="s">
        <v>135</v>
      </c>
      <c r="I37" s="12" t="s">
        <v>140</v>
      </c>
    </row>
    <row r="38" customFormat="false" ht="15" hidden="false" customHeight="false" outlineLevel="0" collapsed="false">
      <c r="A38" s="11" t="s">
        <v>144</v>
      </c>
      <c r="B38" s="11" t="s">
        <v>136</v>
      </c>
      <c r="C38" s="11" t="s">
        <v>137</v>
      </c>
      <c r="D38" s="12" t="s">
        <v>145</v>
      </c>
      <c r="E38" s="12" t="s">
        <v>146</v>
      </c>
      <c r="F38" s="11" t="s">
        <v>35</v>
      </c>
      <c r="G38" s="11" t="s">
        <v>17</v>
      </c>
      <c r="H38" s="11" t="s">
        <v>147</v>
      </c>
      <c r="I38" s="12" t="s">
        <v>140</v>
      </c>
    </row>
    <row r="39" customFormat="false" ht="15" hidden="false" customHeight="false" outlineLevel="0" collapsed="false">
      <c r="A39" s="11" t="s">
        <v>148</v>
      </c>
      <c r="B39" s="11" t="s">
        <v>136</v>
      </c>
      <c r="C39" s="11" t="s">
        <v>137</v>
      </c>
      <c r="D39" s="12" t="s">
        <v>149</v>
      </c>
      <c r="E39" s="12" t="s">
        <v>150</v>
      </c>
      <c r="F39" s="11" t="s">
        <v>35</v>
      </c>
      <c r="G39" s="11" t="s">
        <v>17</v>
      </c>
      <c r="H39" s="11" t="s">
        <v>151</v>
      </c>
      <c r="I39" s="12" t="s">
        <v>140</v>
      </c>
    </row>
    <row r="40" customFormat="false" ht="23.85" hidden="false" customHeight="false" outlineLevel="0" collapsed="false">
      <c r="A40" s="13" t="s">
        <v>152</v>
      </c>
      <c r="B40" s="13" t="s">
        <v>153</v>
      </c>
      <c r="C40" s="13" t="s">
        <v>154</v>
      </c>
      <c r="D40" s="14" t="s">
        <v>155</v>
      </c>
      <c r="E40" s="14" t="s">
        <v>156</v>
      </c>
      <c r="F40" s="13" t="s">
        <v>127</v>
      </c>
      <c r="G40" s="13" t="s">
        <v>17</v>
      </c>
      <c r="H40" s="13" t="s">
        <v>18</v>
      </c>
      <c r="I40" s="14" t="s">
        <v>157</v>
      </c>
    </row>
    <row r="41" customFormat="false" ht="15" hidden="false" customHeight="false" outlineLevel="0" collapsed="false">
      <c r="A41" s="13" t="s">
        <v>158</v>
      </c>
      <c r="B41" s="13" t="s">
        <v>153</v>
      </c>
      <c r="C41" s="13" t="s">
        <v>154</v>
      </c>
      <c r="D41" s="14" t="s">
        <v>159</v>
      </c>
      <c r="E41" s="14" t="s">
        <v>160</v>
      </c>
      <c r="F41" s="13" t="s">
        <v>127</v>
      </c>
      <c r="G41" s="13" t="s">
        <v>17</v>
      </c>
      <c r="H41" s="13" t="s">
        <v>18</v>
      </c>
      <c r="I41" s="14" t="s">
        <v>161</v>
      </c>
    </row>
    <row r="42" customFormat="false" ht="23.85" hidden="false" customHeight="false" outlineLevel="0" collapsed="false">
      <c r="A42" s="13" t="s">
        <v>162</v>
      </c>
      <c r="B42" s="13" t="s">
        <v>153</v>
      </c>
      <c r="C42" s="13" t="s">
        <v>154</v>
      </c>
      <c r="D42" s="14" t="s">
        <v>163</v>
      </c>
      <c r="E42" s="14" t="s">
        <v>164</v>
      </c>
      <c r="F42" s="13" t="s">
        <v>127</v>
      </c>
      <c r="G42" s="13" t="s">
        <v>17</v>
      </c>
      <c r="H42" s="13" t="s">
        <v>73</v>
      </c>
      <c r="I42" s="14" t="s">
        <v>165</v>
      </c>
    </row>
  </sheetData>
  <autoFilter ref="A4:I42"/>
  <mergeCells count="3">
    <mergeCell ref="A1:I1"/>
    <mergeCell ref="A2:I2"/>
    <mergeCell ref="A35:I35"/>
  </mergeCells>
  <dataValidations count="2">
    <dataValidation allowBlank="false" errorStyle="stop" operator="between" showDropDown="false" showErrorMessage="false" showInputMessage="false" sqref="G5:G42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F5:F42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</cols>
  <sheetData>
    <row r="1" customFormat="false" ht="17.35" hidden="false" customHeight="false" outlineLevel="0" collapsed="false">
      <c r="A1" s="1" t="s">
        <v>166</v>
      </c>
      <c r="B1" s="1"/>
      <c r="C1" s="1"/>
    </row>
    <row r="2" customFormat="false" ht="15" hidden="false" customHeight="false" outlineLevel="0" collapsed="false">
      <c r="A2" s="2" t="s">
        <v>167</v>
      </c>
      <c r="B2" s="2"/>
      <c r="C2" s="2"/>
    </row>
    <row r="4" customFormat="false" ht="15" hidden="false" customHeight="false" outlineLevel="0" collapsed="false">
      <c r="A4" s="15" t="s">
        <v>168</v>
      </c>
    </row>
    <row r="5" customFormat="false" ht="15" hidden="false" customHeight="false" outlineLevel="0" collapsed="false">
      <c r="A5" s="16" t="s">
        <v>8</v>
      </c>
      <c r="B5" s="16" t="s">
        <v>169</v>
      </c>
    </row>
    <row r="6" customFormat="false" ht="15" hidden="false" customHeight="false" outlineLevel="0" collapsed="false">
      <c r="A6" s="17" t="s">
        <v>17</v>
      </c>
      <c r="B6" s="17" t="n">
        <f aca="false">COUNTIF('Roadmap to V1'!$G$5:$G$42,"Not Started")</f>
        <v>37</v>
      </c>
    </row>
    <row r="7" customFormat="false" ht="15" hidden="false" customHeight="false" outlineLevel="0" collapsed="false">
      <c r="A7" s="17" t="s">
        <v>170</v>
      </c>
      <c r="B7" s="17" t="n">
        <f aca="false">COUNTIF('Roadmap to V1'!$G$5:$G$42,"In Progress")</f>
        <v>0</v>
      </c>
    </row>
    <row r="8" customFormat="false" ht="15" hidden="false" customHeight="false" outlineLevel="0" collapsed="false">
      <c r="A8" s="17" t="s">
        <v>171</v>
      </c>
      <c r="B8" s="17" t="n">
        <f aca="false">COUNTIF('Roadmap to V1'!$G$5:$G$42,"Done")</f>
        <v>0</v>
      </c>
    </row>
    <row r="9" customFormat="false" ht="15" hidden="false" customHeight="false" outlineLevel="0" collapsed="false">
      <c r="A9" s="17" t="s">
        <v>172</v>
      </c>
      <c r="B9" s="17" t="n">
        <f aca="false">COUNTIF('Roadmap to V1'!$G$5:$G$42,"Blocked")</f>
        <v>0</v>
      </c>
    </row>
    <row r="10" customFormat="false" ht="15" hidden="false" customHeight="false" outlineLevel="0" collapsed="false">
      <c r="A10" s="15" t="s">
        <v>173</v>
      </c>
      <c r="B10" s="15" t="n">
        <f aca="false">COUNTA('Roadmap to V1'!$G$5:$G$42)</f>
        <v>37</v>
      </c>
    </row>
    <row r="11" customFormat="false" ht="15" hidden="false" customHeight="false" outlineLevel="0" collapsed="false">
      <c r="A11" s="15" t="s">
        <v>174</v>
      </c>
      <c r="B11" s="18" t="n">
        <f aca="false">B8/B10</f>
        <v>0</v>
      </c>
    </row>
    <row r="13" customFormat="false" ht="15" hidden="false" customHeight="false" outlineLevel="0" collapsed="false">
      <c r="A13" s="15" t="s">
        <v>175</v>
      </c>
    </row>
    <row r="14" customFormat="false" ht="15" hidden="false" customHeight="false" outlineLevel="0" collapsed="false">
      <c r="A14" s="16" t="s">
        <v>3</v>
      </c>
      <c r="B14" s="16" t="s">
        <v>176</v>
      </c>
      <c r="C14" s="16" t="s">
        <v>171</v>
      </c>
    </row>
    <row r="15" customFormat="false" ht="15" hidden="false" customHeight="false" outlineLevel="0" collapsed="false">
      <c r="A15" s="17" t="s">
        <v>177</v>
      </c>
      <c r="B15" s="17" t="n">
        <f aca="false">COUNTIF('Roadmap to V1'!$B$5:$B$42,"0")</f>
        <v>6</v>
      </c>
      <c r="C15" s="17" t="n">
        <f aca="false">COUNTIFS('Roadmap to V1'!$B$5:$B$42,"0",'Roadmap to V1'!$G$5:$G$42,"Done")</f>
        <v>0</v>
      </c>
    </row>
    <row r="16" customFormat="false" ht="15" hidden="false" customHeight="false" outlineLevel="0" collapsed="false">
      <c r="A16" s="17" t="s">
        <v>178</v>
      </c>
      <c r="B16" s="17" t="n">
        <f aca="false">COUNTIF('Roadmap to V1'!$B$5:$B$42,"1")</f>
        <v>16</v>
      </c>
      <c r="C16" s="17" t="n">
        <f aca="false">COUNTIFS('Roadmap to V1'!$B$5:$B$42,"1",'Roadmap to V1'!$G$5:$G$42,"Done")</f>
        <v>0</v>
      </c>
    </row>
    <row r="17" customFormat="false" ht="15" hidden="false" customHeight="false" outlineLevel="0" collapsed="false">
      <c r="A17" s="17" t="s">
        <v>179</v>
      </c>
      <c r="B17" s="17" t="n">
        <f aca="false">COUNTIF('Roadmap to V1'!$B$5:$B$42,"2")</f>
        <v>8</v>
      </c>
      <c r="C17" s="17" t="n">
        <f aca="false">COUNTIFS('Roadmap to V1'!$B$5:$B$42,"2",'Roadmap to V1'!$G$5:$G$42,"Done")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2026-08-15T12:59:52Z</dcterms:created>
  <dc:creator>openpyxl</dc:creator>
  <dc:description/>
  <dc:language>en-US</dc:language>
  <cp:lastModifiedBy/>
  <dcterms:modified xsi:type="dcterms:W3CDTF">2026-08-15T12:59:52Z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